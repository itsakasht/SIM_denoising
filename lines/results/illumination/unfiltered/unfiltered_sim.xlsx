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ti\Internships\Norway University\SIM\SIM_denoising\lines\results\illumination\unfiltered\"/>
    </mc:Choice>
  </mc:AlternateContent>
  <xr:revisionPtr revIDLastSave="0" documentId="13_ncr:9_{023BC780-D32A-4F3D-95FE-57989B519EEA}" xr6:coauthVersionLast="47" xr6:coauthVersionMax="47" xr10:uidLastSave="{00000000-0000-0000-0000-000000000000}"/>
  <bookViews>
    <workbookView xWindow="11424" yWindow="0" windowWidth="11712" windowHeight="12336" xr2:uid="{8604B21A-2424-4092-9E2A-F5BB0A89039D}"/>
  </bookViews>
  <sheets>
    <sheet name="unfiltered_sim" sheetId="1" r:id="rId1"/>
  </sheets>
  <calcPr calcId="0"/>
</workbook>
</file>

<file path=xl/calcChain.xml><?xml version="1.0" encoding="utf-8"?>
<calcChain xmlns="http://schemas.openxmlformats.org/spreadsheetml/2006/main">
  <c r="E11" i="1" l="1"/>
  <c r="E5" i="1"/>
  <c r="E8" i="1"/>
  <c r="E14" i="1"/>
  <c r="E17" i="1"/>
  <c r="E20" i="1"/>
  <c r="E23" i="1"/>
  <c r="E26" i="1"/>
  <c r="E29" i="1"/>
  <c r="E2" i="1"/>
</calcChain>
</file>

<file path=xl/sharedStrings.xml><?xml version="1.0" encoding="utf-8"?>
<sst xmlns="http://schemas.openxmlformats.org/spreadsheetml/2006/main" count="30" uniqueCount="30">
  <si>
    <t>Noise</t>
  </si>
  <si>
    <t>SNR</t>
  </si>
  <si>
    <t>MSNR</t>
  </si>
  <si>
    <t>MCNR</t>
  </si>
  <si>
    <t>Wiener SIMcheck</t>
  </si>
  <si>
    <t>Angle</t>
  </si>
  <si>
    <t>k0[pxl]</t>
  </si>
  <si>
    <t>Phas offs.</t>
  </si>
  <si>
    <t>Pha#0</t>
  </si>
  <si>
    <t>Pha#1</t>
  </si>
  <si>
    <t>Pha#2</t>
  </si>
  <si>
    <t>A</t>
  </si>
  <si>
    <t>B</t>
  </si>
  <si>
    <t>OTF</t>
  </si>
  <si>
    <t>NA</t>
  </si>
  <si>
    <t>Wavelength</t>
  </si>
  <si>
    <t>a</t>
  </si>
  <si>
    <t>480nm</t>
  </si>
  <si>
    <t>Parameter estimation</t>
  </si>
  <si>
    <t>Band to shift vector est.</t>
  </si>
  <si>
    <t>Region to exclude from fit</t>
  </si>
  <si>
    <t>Reconstruction</t>
  </si>
  <si>
    <t>Output</t>
  </si>
  <si>
    <t>Filter type</t>
  </si>
  <si>
    <t>APO cut off</t>
  </si>
  <si>
    <t>APO bend</t>
  </si>
  <si>
    <t>raw values</t>
  </si>
  <si>
    <t>Wiener 0.05</t>
  </si>
  <si>
    <t>Pixel Size</t>
  </si>
  <si>
    <t>20nm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</si>
</sst>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DEBA-37CA-473B-9827-DEF5E56F13BD}">
  <dimension ref="A1:Q31"/>
  <sheetViews>
    <sheetView tabSelected="1" topLeftCell="A7" workbookViewId="0">
      <selection activeCell="D20" sqref="D20:D22"/>
    </sheetView>
  </sheetViews>
  <sheetFormatPr defaultRowHeight="14.4" x14ac:dyDescent="0.3"/>
  <cols>
    <col min="6" max="6" width="12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N1" t="s">
        <v>13</v>
      </c>
    </row>
    <row r="2" spans="1:17" x14ac:dyDescent="0.3">
      <c r="A2" s="1" t="s">
        <v>11</v>
      </c>
      <c r="B2" s="1">
        <v>2</v>
      </c>
      <c r="C2" s="1">
        <v>2.1031784999999998</v>
      </c>
      <c r="D2" s="1">
        <v>1.89</v>
      </c>
      <c r="E2" s="1">
        <f>0.17/(D2*D2)</f>
        <v>4.7591052882058178E-2</v>
      </c>
      <c r="F2" s="2">
        <v>-0.52351289871692896</v>
      </c>
      <c r="G2" s="2">
        <v>93.102737624016299</v>
      </c>
      <c r="H2" s="2">
        <v>-1.6060204681821999</v>
      </c>
      <c r="I2" s="2">
        <v>0</v>
      </c>
      <c r="J2" s="2">
        <v>2.0943951023931899</v>
      </c>
      <c r="K2" s="2">
        <v>-2.0943951023931899</v>
      </c>
      <c r="N2" t="s">
        <v>14</v>
      </c>
      <c r="O2" t="s">
        <v>15</v>
      </c>
      <c r="P2" t="s">
        <v>16</v>
      </c>
    </row>
    <row r="3" spans="1:17" x14ac:dyDescent="0.3">
      <c r="A3" s="1"/>
      <c r="B3" s="1"/>
      <c r="C3" s="1"/>
      <c r="D3" s="1"/>
      <c r="E3" s="1"/>
      <c r="F3" s="2">
        <v>-2.61807975487286</v>
      </c>
      <c r="G3" s="2">
        <v>93.102737624016299</v>
      </c>
      <c r="H3" s="2">
        <v>-1.5424588503399199</v>
      </c>
      <c r="I3" s="2">
        <v>0</v>
      </c>
      <c r="J3" s="2">
        <v>2.0943951023931899</v>
      </c>
      <c r="K3" s="2">
        <v>-2.0943951023931899</v>
      </c>
      <c r="N3">
        <v>1.2</v>
      </c>
      <c r="O3" t="s">
        <v>17</v>
      </c>
      <c r="P3">
        <v>0.3</v>
      </c>
    </row>
    <row r="4" spans="1:17" x14ac:dyDescent="0.3">
      <c r="A4" s="1"/>
      <c r="B4" s="1"/>
      <c r="C4" s="1"/>
      <c r="D4" s="1"/>
      <c r="E4" s="1"/>
      <c r="F4" s="2">
        <v>1.5695197811264601</v>
      </c>
      <c r="G4" s="2">
        <v>95.744522455579201</v>
      </c>
      <c r="H4" s="2">
        <v>0.49425944744317801</v>
      </c>
      <c r="I4" s="2">
        <v>0</v>
      </c>
      <c r="J4" s="2">
        <v>2.0943951023931899</v>
      </c>
      <c r="K4" s="2">
        <v>-2.0943951023931899</v>
      </c>
    </row>
    <row r="5" spans="1:17" x14ac:dyDescent="0.3">
      <c r="A5" s="1"/>
      <c r="B5" s="1">
        <v>5</v>
      </c>
      <c r="C5" s="1">
        <v>5.2273396999999999</v>
      </c>
      <c r="D5" s="1">
        <v>1.96</v>
      </c>
      <c r="E5" s="1">
        <f t="shared" ref="E5" si="0">0.17/(D5*D5)</f>
        <v>4.4252394835485223E-2</v>
      </c>
      <c r="F5" s="2">
        <v>-0.52351289871692896</v>
      </c>
      <c r="G5" s="2">
        <v>93.102737624016299</v>
      </c>
      <c r="H5" s="2">
        <v>-1.6095766795673501</v>
      </c>
      <c r="I5" s="2">
        <v>0</v>
      </c>
      <c r="J5" s="2">
        <v>2.0943951023931899</v>
      </c>
      <c r="K5" s="2">
        <v>-2.0943951023931899</v>
      </c>
      <c r="N5" t="s">
        <v>18</v>
      </c>
    </row>
    <row r="6" spans="1:17" x14ac:dyDescent="0.3">
      <c r="A6" s="1"/>
      <c r="B6" s="1"/>
      <c r="C6" s="1"/>
      <c r="D6" s="1"/>
      <c r="E6" s="1"/>
      <c r="F6" s="2">
        <v>-2.61807975487286</v>
      </c>
      <c r="G6" s="2">
        <v>93.102737624016299</v>
      </c>
      <c r="H6" s="2">
        <v>-1.53079897064527</v>
      </c>
      <c r="I6" s="2">
        <v>0</v>
      </c>
      <c r="J6" s="2">
        <v>2.0943951023931899</v>
      </c>
      <c r="K6" s="2">
        <v>-2.0943951023931899</v>
      </c>
      <c r="N6" t="s">
        <v>19</v>
      </c>
      <c r="O6" t="s">
        <v>20</v>
      </c>
    </row>
    <row r="7" spans="1:17" x14ac:dyDescent="0.3">
      <c r="A7" s="1"/>
      <c r="B7" s="1"/>
      <c r="C7" s="1"/>
      <c r="D7" s="1"/>
      <c r="E7" s="1"/>
      <c r="F7" s="2">
        <v>1.5718565219448499</v>
      </c>
      <c r="G7" s="2">
        <v>94.322275231984605</v>
      </c>
      <c r="H7" s="2">
        <v>-0.57345394594287502</v>
      </c>
      <c r="I7" s="2">
        <v>0</v>
      </c>
      <c r="J7" s="2">
        <v>2.0943951023931899</v>
      </c>
      <c r="K7" s="2">
        <v>-2.0943951023931899</v>
      </c>
      <c r="N7">
        <v>1</v>
      </c>
      <c r="O7">
        <v>0.8</v>
      </c>
    </row>
    <row r="8" spans="1:17" x14ac:dyDescent="0.3">
      <c r="A8" s="1"/>
      <c r="B8" s="1">
        <v>10</v>
      </c>
      <c r="C8" s="1">
        <v>10.319959000000001</v>
      </c>
      <c r="D8" s="1">
        <v>2.12</v>
      </c>
      <c r="E8" s="1">
        <f t="shared" ref="E8" si="1">0.17/(D8*D8)</f>
        <v>3.7824848700605193E-2</v>
      </c>
      <c r="F8" s="2">
        <v>-0.52351289871692896</v>
      </c>
      <c r="G8" s="2">
        <v>93.102737624016299</v>
      </c>
      <c r="H8" s="2">
        <v>-1.60587490980304</v>
      </c>
      <c r="I8" s="2">
        <v>0</v>
      </c>
      <c r="J8" s="2">
        <v>2.0943951023931899</v>
      </c>
      <c r="K8" s="2">
        <v>-2.0943951023931899</v>
      </c>
    </row>
    <row r="9" spans="1:17" x14ac:dyDescent="0.3">
      <c r="A9" s="1"/>
      <c r="B9" s="1"/>
      <c r="C9" s="1"/>
      <c r="D9" s="1"/>
      <c r="E9" s="1"/>
      <c r="F9" s="2">
        <v>-2.61807975487286</v>
      </c>
      <c r="G9" s="2">
        <v>93.102737624016299</v>
      </c>
      <c r="H9" s="2">
        <v>-1.5282993066457999</v>
      </c>
      <c r="I9" s="2">
        <v>0</v>
      </c>
      <c r="J9" s="2">
        <v>2.0943951023931899</v>
      </c>
      <c r="K9" s="2">
        <v>-2.0943951023931899</v>
      </c>
      <c r="N9" t="s">
        <v>21</v>
      </c>
    </row>
    <row r="10" spans="1:17" x14ac:dyDescent="0.3">
      <c r="A10" s="1"/>
      <c r="B10" s="1"/>
      <c r="C10" s="1"/>
      <c r="D10" s="1"/>
      <c r="E10" s="1"/>
      <c r="F10" s="2">
        <v>1.5713843544820301</v>
      </c>
      <c r="G10" s="2">
        <v>94.477794111880598</v>
      </c>
      <c r="H10" s="2">
        <v>-0.26882490043718799</v>
      </c>
      <c r="I10" s="2">
        <v>0</v>
      </c>
      <c r="J10" s="2">
        <v>2.0943951023931899</v>
      </c>
      <c r="K10" s="2">
        <v>-2.0943951023931899</v>
      </c>
      <c r="N10" t="s">
        <v>22</v>
      </c>
      <c r="O10" t="s">
        <v>23</v>
      </c>
      <c r="P10" t="s">
        <v>24</v>
      </c>
      <c r="Q10" t="s">
        <v>25</v>
      </c>
    </row>
    <row r="11" spans="1:17" x14ac:dyDescent="0.3">
      <c r="A11" s="1"/>
      <c r="B11" s="1">
        <v>20</v>
      </c>
      <c r="C11" s="1">
        <v>20.369872999999998</v>
      </c>
      <c r="D11" s="1">
        <v>2.2999999999999998</v>
      </c>
      <c r="E11" s="1">
        <f t="shared" ref="E11" si="2">0.17/(D11*D11)</f>
        <v>3.213610586011343E-2</v>
      </c>
      <c r="F11" s="2">
        <v>-0.52351289871692896</v>
      </c>
      <c r="G11" s="2">
        <v>93.102737624016299</v>
      </c>
      <c r="H11" s="2">
        <v>-1.60914141556261</v>
      </c>
      <c r="I11" s="2">
        <v>0</v>
      </c>
      <c r="J11" s="2">
        <v>2.0943951023931899</v>
      </c>
      <c r="K11" s="2">
        <v>-2.0943951023931899</v>
      </c>
      <c r="N11" t="s">
        <v>26</v>
      </c>
      <c r="O11" t="s">
        <v>27</v>
      </c>
      <c r="P11">
        <v>2</v>
      </c>
      <c r="Q11">
        <v>0.9</v>
      </c>
    </row>
    <row r="12" spans="1:17" x14ac:dyDescent="0.3">
      <c r="A12" s="1"/>
      <c r="B12" s="1"/>
      <c r="C12" s="1"/>
      <c r="D12" s="1"/>
      <c r="E12" s="1"/>
      <c r="F12" s="2">
        <v>-2.61807975487286</v>
      </c>
      <c r="G12" s="2">
        <v>93.102737624016299</v>
      </c>
      <c r="H12" s="2">
        <v>-1.5257690062324001</v>
      </c>
      <c r="I12" s="2">
        <v>0</v>
      </c>
      <c r="J12" s="2">
        <v>2.0943951023931899</v>
      </c>
      <c r="K12" s="2">
        <v>-2.0943951023931899</v>
      </c>
    </row>
    <row r="13" spans="1:17" x14ac:dyDescent="0.3">
      <c r="A13" s="1"/>
      <c r="B13" s="1"/>
      <c r="C13" s="1"/>
      <c r="D13" s="1"/>
      <c r="E13" s="1"/>
      <c r="F13" s="2">
        <v>1.5706770092915801</v>
      </c>
      <c r="G13" s="2">
        <v>93.122222885097202</v>
      </c>
      <c r="H13" s="2">
        <v>-1.5734098387328499</v>
      </c>
      <c r="I13" s="2">
        <v>0</v>
      </c>
      <c r="J13" s="2">
        <v>2.0943951023931899</v>
      </c>
      <c r="K13" s="2">
        <v>-2.0943951023931899</v>
      </c>
      <c r="N13" t="s">
        <v>28</v>
      </c>
      <c r="O13" t="s">
        <v>29</v>
      </c>
    </row>
    <row r="14" spans="1:17" x14ac:dyDescent="0.3">
      <c r="A14" s="1"/>
      <c r="B14" s="1">
        <v>50</v>
      </c>
      <c r="C14" s="1">
        <v>50.293506999999998</v>
      </c>
      <c r="D14" s="1">
        <v>2.52</v>
      </c>
      <c r="E14" s="1">
        <f t="shared" ref="E14" si="3">0.17/(D14*D14)</f>
        <v>2.6769967246157721E-2</v>
      </c>
      <c r="F14" s="2">
        <v>-0.52351289871692896</v>
      </c>
      <c r="G14" s="2">
        <v>93.102737624016299</v>
      </c>
      <c r="H14" s="2">
        <v>-1.6043290074083201</v>
      </c>
      <c r="I14" s="2">
        <v>0</v>
      </c>
      <c r="J14" s="2">
        <v>2.0943951023931899</v>
      </c>
      <c r="K14" s="2">
        <v>-2.0943951023931899</v>
      </c>
    </row>
    <row r="15" spans="1:17" x14ac:dyDescent="0.3">
      <c r="A15" s="1"/>
      <c r="B15" s="1"/>
      <c r="C15" s="1"/>
      <c r="D15" s="1"/>
      <c r="E15" s="1"/>
      <c r="F15" s="2">
        <v>-2.61807975487286</v>
      </c>
      <c r="G15" s="2">
        <v>93.102737624016299</v>
      </c>
      <c r="H15" s="2">
        <v>-1.53060978426495</v>
      </c>
      <c r="I15" s="2">
        <v>0</v>
      </c>
      <c r="J15" s="2">
        <v>2.0943951023931899</v>
      </c>
      <c r="K15" s="2">
        <v>-2.0943951023931899</v>
      </c>
    </row>
    <row r="16" spans="1:17" x14ac:dyDescent="0.3">
      <c r="A16" s="1"/>
      <c r="B16" s="1"/>
      <c r="C16" s="1"/>
      <c r="D16" s="1"/>
      <c r="E16" s="1"/>
      <c r="F16" s="2">
        <v>1.57091398769563</v>
      </c>
      <c r="G16" s="2">
        <v>94.433333987005</v>
      </c>
      <c r="H16" s="2">
        <v>-0.51192276788379698</v>
      </c>
      <c r="I16" s="2">
        <v>0</v>
      </c>
      <c r="J16" s="2">
        <v>2.0943951023931899</v>
      </c>
      <c r="K16" s="2">
        <v>-2.0943951023931899</v>
      </c>
    </row>
    <row r="17" spans="1:11" x14ac:dyDescent="0.3">
      <c r="A17" s="1" t="s">
        <v>12</v>
      </c>
      <c r="B17" s="1">
        <v>2</v>
      </c>
      <c r="C17" s="1">
        <v>2.1185873000000002</v>
      </c>
      <c r="D17" s="1">
        <v>1.89</v>
      </c>
      <c r="E17" s="1">
        <f t="shared" ref="E17" si="4">0.17/(D17*D17)</f>
        <v>4.7591052882058178E-2</v>
      </c>
      <c r="F17" s="2">
        <v>-0.52330615657271395</v>
      </c>
      <c r="G17" s="2">
        <v>93.091630155123298</v>
      </c>
      <c r="H17" s="2">
        <v>-1.5347332516569501</v>
      </c>
      <c r="I17" s="2">
        <v>0</v>
      </c>
      <c r="J17" s="2">
        <v>2.0943951023931899</v>
      </c>
      <c r="K17" s="2">
        <v>-2.0943951023931899</v>
      </c>
    </row>
    <row r="18" spans="1:11" x14ac:dyDescent="0.3">
      <c r="A18" s="1"/>
      <c r="B18" s="1"/>
      <c r="C18" s="1"/>
      <c r="D18" s="1"/>
      <c r="E18" s="1"/>
      <c r="F18" s="2">
        <v>-2.61807975487286</v>
      </c>
      <c r="G18" s="2">
        <v>93.102737624016299</v>
      </c>
      <c r="H18" s="2">
        <v>-1.53037297655228</v>
      </c>
      <c r="I18" s="2">
        <v>0</v>
      </c>
      <c r="J18" s="2">
        <v>2.0943951023931899</v>
      </c>
      <c r="K18" s="2">
        <v>-2.0943951023931899</v>
      </c>
    </row>
    <row r="19" spans="1:11" x14ac:dyDescent="0.3">
      <c r="A19" s="1"/>
      <c r="B19" s="1"/>
      <c r="C19" s="1"/>
      <c r="D19" s="1"/>
      <c r="E19" s="1"/>
      <c r="F19" s="2">
        <v>1.5687664788364799</v>
      </c>
      <c r="G19" s="2">
        <v>93.055747263484093</v>
      </c>
      <c r="H19" s="2">
        <v>-1.9759178909269</v>
      </c>
      <c r="I19" s="2">
        <v>0</v>
      </c>
      <c r="J19" s="2">
        <v>2.0943951023931899</v>
      </c>
      <c r="K19" s="2">
        <v>-2.0943951023931899</v>
      </c>
    </row>
    <row r="20" spans="1:11" x14ac:dyDescent="0.3">
      <c r="A20" s="1"/>
      <c r="B20" s="1">
        <v>5</v>
      </c>
      <c r="C20" s="1">
        <v>5.2337556000000003</v>
      </c>
      <c r="D20" s="1">
        <v>1.97</v>
      </c>
      <c r="E20" s="1">
        <f t="shared" ref="E20" si="5">0.17/(D20*D20)</f>
        <v>4.3804272204900928E-2</v>
      </c>
      <c r="F20" s="2">
        <v>-0.52351289871692896</v>
      </c>
      <c r="G20" s="2">
        <v>93.102737624016299</v>
      </c>
      <c r="H20" s="2">
        <v>-1.6041691948452399</v>
      </c>
      <c r="I20" s="2">
        <v>0</v>
      </c>
      <c r="J20" s="2">
        <v>2.0943951023931899</v>
      </c>
      <c r="K20" s="2">
        <v>-2.0943951023931899</v>
      </c>
    </row>
    <row r="21" spans="1:11" x14ac:dyDescent="0.3">
      <c r="A21" s="1"/>
      <c r="B21" s="1"/>
      <c r="C21" s="1"/>
      <c r="D21" s="1"/>
      <c r="E21" s="1"/>
      <c r="F21" s="2">
        <v>-2.61807975487286</v>
      </c>
      <c r="G21" s="2">
        <v>93.102737624016299</v>
      </c>
      <c r="H21" s="2">
        <v>-1.5311068291404</v>
      </c>
      <c r="I21" s="2">
        <v>0</v>
      </c>
      <c r="J21" s="2">
        <v>2.0943951023931899</v>
      </c>
      <c r="K21" s="2">
        <v>-2.0943951023931899</v>
      </c>
    </row>
    <row r="22" spans="1:11" x14ac:dyDescent="0.3">
      <c r="A22" s="1"/>
      <c r="B22" s="1"/>
      <c r="C22" s="1"/>
      <c r="D22" s="1"/>
      <c r="E22" s="1"/>
      <c r="F22" s="2">
        <v>1.5699725068094399</v>
      </c>
      <c r="G22" s="2">
        <v>94.411143148556803</v>
      </c>
      <c r="H22" s="2">
        <v>-0.90820399671769703</v>
      </c>
      <c r="I22" s="2">
        <v>0</v>
      </c>
      <c r="J22" s="2">
        <v>2.0943951023931899</v>
      </c>
      <c r="K22" s="2">
        <v>-2.0943951023931899</v>
      </c>
    </row>
    <row r="23" spans="1:11" x14ac:dyDescent="0.3">
      <c r="A23" s="1"/>
      <c r="B23" s="1">
        <v>10</v>
      </c>
      <c r="C23" s="1">
        <v>10.408156999999999</v>
      </c>
      <c r="D23" s="1">
        <v>2.11</v>
      </c>
      <c r="E23" s="1">
        <f t="shared" ref="E23" si="6">0.17/(D23*D23)</f>
        <v>3.8184227667842144E-2</v>
      </c>
      <c r="F23" s="2">
        <v>-0.52351289871692896</v>
      </c>
      <c r="G23" s="2">
        <v>93.102737624016299</v>
      </c>
      <c r="H23" s="2">
        <v>-1.60307482978716</v>
      </c>
      <c r="I23" s="2">
        <v>0</v>
      </c>
      <c r="J23" s="2">
        <v>2.0943951023931899</v>
      </c>
      <c r="K23" s="2">
        <v>-2.0943951023931899</v>
      </c>
    </row>
    <row r="24" spans="1:11" x14ac:dyDescent="0.3">
      <c r="A24" s="1"/>
      <c r="B24" s="1"/>
      <c r="C24" s="1"/>
      <c r="D24" s="1"/>
      <c r="E24" s="1"/>
      <c r="F24" s="2">
        <v>-2.61807975487286</v>
      </c>
      <c r="G24" s="2">
        <v>93.102737624016299</v>
      </c>
      <c r="H24" s="2">
        <v>-1.5321173902298899</v>
      </c>
      <c r="I24" s="2">
        <v>0</v>
      </c>
      <c r="J24" s="2">
        <v>2.0943951023931899</v>
      </c>
      <c r="K24" s="2">
        <v>-2.0943951023931899</v>
      </c>
    </row>
    <row r="25" spans="1:11" x14ac:dyDescent="0.3">
      <c r="A25" s="1"/>
      <c r="B25" s="1"/>
      <c r="C25" s="1"/>
      <c r="D25" s="1"/>
      <c r="E25" s="1"/>
      <c r="F25" s="2">
        <v>1.5709156442982</v>
      </c>
      <c r="G25" s="2">
        <v>93.122222885097202</v>
      </c>
      <c r="H25" s="2">
        <v>-1.5409866073479299</v>
      </c>
      <c r="I25" s="2">
        <v>0</v>
      </c>
      <c r="J25" s="2">
        <v>2.0943951023931899</v>
      </c>
      <c r="K25" s="2">
        <v>-2.0943951023931899</v>
      </c>
    </row>
    <row r="26" spans="1:11" x14ac:dyDescent="0.3">
      <c r="A26" s="1"/>
      <c r="B26" s="1">
        <v>20</v>
      </c>
      <c r="C26" s="1">
        <v>20.834150000000001</v>
      </c>
      <c r="D26" s="1">
        <v>2.31</v>
      </c>
      <c r="E26" s="1">
        <f t="shared" ref="E26" si="7">0.17/(D26*D26)</f>
        <v>3.185847341691498E-2</v>
      </c>
      <c r="F26" s="2">
        <v>-0.52351289871692896</v>
      </c>
      <c r="G26" s="2">
        <v>93.102737624016299</v>
      </c>
      <c r="H26" s="2">
        <v>-1.6077528443412601</v>
      </c>
      <c r="I26" s="2">
        <v>0</v>
      </c>
      <c r="J26" s="2">
        <v>2.0943951023931899</v>
      </c>
      <c r="K26" s="2">
        <v>-2.0943951023931899</v>
      </c>
    </row>
    <row r="27" spans="1:11" x14ac:dyDescent="0.3">
      <c r="A27" s="1"/>
      <c r="B27" s="1"/>
      <c r="C27" s="1"/>
      <c r="D27" s="1"/>
      <c r="E27" s="1"/>
      <c r="F27" s="2">
        <v>-2.61807975487286</v>
      </c>
      <c r="G27" s="2">
        <v>93.102737624016299</v>
      </c>
      <c r="H27" s="2">
        <v>-1.5279083570496399</v>
      </c>
      <c r="I27" s="2">
        <v>0</v>
      </c>
      <c r="J27" s="2">
        <v>2.0943951023931899</v>
      </c>
      <c r="K27" s="2">
        <v>-2.0943951023931899</v>
      </c>
    </row>
    <row r="28" spans="1:11" x14ac:dyDescent="0.3">
      <c r="A28" s="1"/>
      <c r="B28" s="1"/>
      <c r="C28" s="1"/>
      <c r="D28" s="1"/>
      <c r="E28" s="1"/>
      <c r="F28" s="2">
        <v>1.5711493925681499</v>
      </c>
      <c r="G28" s="2">
        <v>94.411116995540695</v>
      </c>
      <c r="H28" s="2">
        <v>-0.47516589063147702</v>
      </c>
      <c r="I28" s="2">
        <v>0</v>
      </c>
      <c r="J28" s="2">
        <v>2.0943951023931899</v>
      </c>
      <c r="K28" s="2">
        <v>-2.0943951023931899</v>
      </c>
    </row>
    <row r="29" spans="1:11" x14ac:dyDescent="0.3">
      <c r="A29" s="1"/>
      <c r="B29" s="1">
        <v>50</v>
      </c>
      <c r="C29" s="1">
        <v>50.216709999999999</v>
      </c>
      <c r="D29" s="1">
        <v>2.5099999999999998</v>
      </c>
      <c r="E29" s="1">
        <f t="shared" ref="E29" si="8">0.17/(D29*D29)</f>
        <v>2.6983698671449667E-2</v>
      </c>
      <c r="F29" s="2">
        <v>-0.52351289871692896</v>
      </c>
      <c r="G29" s="2">
        <v>93.102737624016299</v>
      </c>
      <c r="H29" s="2">
        <v>-1.60681074516276</v>
      </c>
      <c r="I29" s="2">
        <v>0</v>
      </c>
      <c r="J29" s="2">
        <v>2.0943951023931899</v>
      </c>
      <c r="K29" s="2">
        <v>-2.0943951023931899</v>
      </c>
    </row>
    <row r="30" spans="1:11" x14ac:dyDescent="0.3">
      <c r="A30" s="1"/>
      <c r="B30" s="1"/>
      <c r="C30" s="1"/>
      <c r="D30" s="1"/>
      <c r="E30" s="1"/>
      <c r="F30" s="2">
        <v>-2.61807975487286</v>
      </c>
      <c r="G30" s="2">
        <v>93.102737624016299</v>
      </c>
      <c r="H30" s="2">
        <v>-1.5288455152709299</v>
      </c>
      <c r="I30" s="2">
        <v>0</v>
      </c>
      <c r="J30" s="2">
        <v>2.0943951023931899</v>
      </c>
      <c r="K30" s="2">
        <v>-2.0943951023931899</v>
      </c>
    </row>
    <row r="31" spans="1:11" x14ac:dyDescent="0.3">
      <c r="A31" s="1"/>
      <c r="B31" s="1"/>
      <c r="C31" s="1"/>
      <c r="D31" s="1"/>
      <c r="E31" s="1"/>
      <c r="F31" s="2">
        <v>1.57091398769563</v>
      </c>
      <c r="G31" s="2">
        <v>94.433333987005</v>
      </c>
      <c r="H31" s="2">
        <v>-0.44047500709954901</v>
      </c>
      <c r="I31" s="2">
        <v>0</v>
      </c>
      <c r="J31" s="2">
        <v>2.0943951023931899</v>
      </c>
      <c r="K31" s="2">
        <v>-2.0943951023931899</v>
      </c>
    </row>
  </sheetData>
  <mergeCells count="42">
    <mergeCell ref="E20:E22"/>
    <mergeCell ref="E23:E25"/>
    <mergeCell ref="E26:E28"/>
    <mergeCell ref="E29:E31"/>
    <mergeCell ref="E2:E4"/>
    <mergeCell ref="E5:E7"/>
    <mergeCell ref="E8:E10"/>
    <mergeCell ref="E11:E13"/>
    <mergeCell ref="E14:E16"/>
    <mergeCell ref="E17:E19"/>
    <mergeCell ref="B20:B22"/>
    <mergeCell ref="B23:B25"/>
    <mergeCell ref="B26:B28"/>
    <mergeCell ref="B29:B31"/>
    <mergeCell ref="A2:A16"/>
    <mergeCell ref="A17:A31"/>
    <mergeCell ref="C20:C22"/>
    <mergeCell ref="C23:C25"/>
    <mergeCell ref="C26:C28"/>
    <mergeCell ref="C29:C31"/>
    <mergeCell ref="B2:B4"/>
    <mergeCell ref="B5:B7"/>
    <mergeCell ref="B8:B10"/>
    <mergeCell ref="B11:B13"/>
    <mergeCell ref="B14:B16"/>
    <mergeCell ref="B17:B19"/>
    <mergeCell ref="D20:D22"/>
    <mergeCell ref="D23:D25"/>
    <mergeCell ref="D26:D28"/>
    <mergeCell ref="D29:D31"/>
    <mergeCell ref="C2:C4"/>
    <mergeCell ref="C5:C7"/>
    <mergeCell ref="C8:C10"/>
    <mergeCell ref="C11:C13"/>
    <mergeCell ref="C14:C16"/>
    <mergeCell ref="C17:C19"/>
    <mergeCell ref="D2:D4"/>
    <mergeCell ref="D5:D7"/>
    <mergeCell ref="D8:D10"/>
    <mergeCell ref="D11:D13"/>
    <mergeCell ref="D14:D16"/>
    <mergeCell ref="D17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unfiltered_sim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Thakur</cp:lastModifiedBy>
  <dcterms:created xsi:type="dcterms:W3CDTF">2025-06-01T06:49:04Z</dcterms:created>
  <dcterms:modified xsi:type="dcterms:W3CDTF">2025-06-01T07:18:46Z</dcterms:modified>
</cp:coreProperties>
</file>